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Feuil4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<sst xmlns="http://schemas.openxmlformats.org/spreadsheetml/2006/main" count="68" uniqueCount="40">
  <si>
    <t xml:space="preserve">Qui</t>
  </si>
  <si>
    <t xml:space="preserve">Somme de Estimation</t>
  </si>
  <si>
    <t xml:space="preserve">(vide)</t>
  </si>
  <si>
    <t xml:space="preserve">Bryan</t>
  </si>
  <si>
    <t xml:space="preserve">Hasina</t>
  </si>
  <si>
    <t xml:space="preserve">Tsilavo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</si>
  <si>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</si>
  <si>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</si>
  <si>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</si>
  <si>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</si>
  <si>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</si>
  <si>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</si>
  <si>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</si>
  <si>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</si>
  <si>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</si>
  <si>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</si>
  <si>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Login</t>
  </si>
  <si>
    <t xml:space="preserve">index.php</t>
  </si>
  <si>
    <t xml:space="preserve">Création html</t>
  </si>
  <si>
    <t xml:space="preserve">Affichage</t>
  </si>
  <si>
    <t xml:space="preserve">Design css</t>
  </si>
  <si>
    <t xml:space="preserve">User.php</t>
  </si>
  <si>
    <t xml:space="preserve">FindUser</t>
  </si>
  <si>
    <t xml:space="preserve">Fonction</t>
  </si>
  <si>
    <t xml:space="preserve">AddUser</t>
  </si>
  <si>
    <t xml:space="preserve">table.sql</t>
  </si>
  <si>
    <t xml:space="preserve">table User</t>
  </si>
  <si>
    <t xml:space="preserve">Base</t>
  </si>
  <si>
    <t xml:space="preserve">Insert.sql</t>
  </si>
  <si>
    <t xml:space="preserve">Insert admin</t>
  </si>
  <si>
    <t xml:space="preserve">Insert 3 user </t>
  </si>
  <si>
    <t xml:space="preserve">validation js login</t>
  </si>
  <si>
    <t xml:space="preserve">Modele</t>
  </si>
  <si>
    <t xml:space="preserve">Modele.php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</si>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</sst>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\ %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Résultat de la table dynamique" xfId="23"/>
    <cellStyle name="Titre de la table dynamique" xfId="24"/>
    <cellStyle name="Valeur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" createdVersion="3">
  <cacheSource type="worksheet">
    <worksheetSource ref="A1:J200" sheet="liste des taches"/>
  </cacheSource>
  <cacheFields count="10">
    <cacheField name="Module" numFmtId="0">
      <sharedItems containsBlank="1" count="4">
        <s v="Header"/>
        <s v="Login"/>
        <s v="Modele"/>
        <m/>
      </sharedItems>
    </cacheField>
    <cacheField name="Nom page" numFmtId="0">
      <sharedItems containsBlank="1" count="7">
        <s v="Header.php"/>
        <s v="index.php"/>
        <s v="Insert.sql"/>
        <s v="Modele.php"/>
        <s v="table.sql"/>
        <s v="User.php"/>
        <m/>
      </sharedItems>
    </cacheField>
    <cacheField name="Description" numFmtId="0">
      <sharedItems containsBlank="1" count="9">
        <s v="AddUser"/>
        <s v="Création html"/>
        <s v="Design css"/>
        <s v="FindUser"/>
        <s v="Insert 3 user "/>
        <s v="Insert admin"/>
        <s v="table User"/>
        <s v="validation js login"/>
        <m/>
      </sharedItems>
    </cacheField>
    <cacheField name="Type" numFmtId="0">
      <sharedItems containsBlank="1" count="4">
        <s v="Affichage"/>
        <s v="Base"/>
        <s v="Fonction"/>
        <m/>
      </sharedItems>
    </cacheField>
    <cacheField name="Estimation" numFmtId="0">
      <sharedItems containsString="0" containsBlank="1" containsNumber="1" containsInteger="1" minValue="2" maxValue="15" count="5">
        <n v="2"/>
        <n v="5"/>
        <n v="10"/>
        <n v="15"/>
        <m/>
      </sharedItems>
    </cacheField>
    <cacheField name="Temps passé" numFmtId="0">
      <sharedItems containsString="0" containsBlank="1" containsNumber="1" containsInteger="1" minValue="0" maxValue="20" count="7">
        <n v="0"/>
        <n v="1"/>
        <n v="3"/>
        <n v="6"/>
        <n v="7"/>
        <n v="20"/>
        <m/>
      </sharedItems>
    </cacheField>
    <cacheField name="Reste à faire" numFmtId="0">
      <sharedItems containsString="0" containsBlank="1" containsNumber="1" containsInteger="1" minValue="0" maxValue="15" count="4">
        <n v="0"/>
        <n v="10"/>
        <n v="15"/>
        <m/>
      </sharedItems>
    </cacheField>
    <cacheField name="Avancement" numFmtId="0">
      <sharedItems containsString="0" containsBlank="1" containsNumber="1" containsInteger="1" minValue="0" maxValue="1" count="3">
        <n v="0"/>
        <n v="1"/>
        <m/>
      </sharedItems>
    </cacheField>
    <cacheField name="Qui" numFmtId="0">
      <sharedItems containsBlank="1" count="4">
        <s v="Bryan"/>
        <s v="Hasina"/>
        <s v="Tsilavo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1"/>
    <x v="1"/>
    <x v="1"/>
    <x v="0"/>
    <x v="3"/>
    <x v="4"/>
    <x v="0"/>
    <x v="1"/>
    <x v="2"/>
    <x v="0"/>
  </r>
  <r>
    <x v="1"/>
    <x v="1"/>
    <x v="2"/>
    <x v="0"/>
    <x v="3"/>
    <x v="4"/>
    <x v="0"/>
    <x v="1"/>
    <x v="2"/>
    <x v="0"/>
  </r>
  <r>
    <x v="1"/>
    <x v="5"/>
    <x v="3"/>
    <x v="2"/>
    <x v="2"/>
    <x v="0"/>
    <x v="1"/>
    <x v="0"/>
    <x v="1"/>
    <x v="0"/>
  </r>
  <r>
    <x v="1"/>
    <x v="5"/>
    <x v="0"/>
    <x v="2"/>
    <x v="2"/>
    <x v="0"/>
    <x v="1"/>
    <x v="0"/>
    <x v="1"/>
    <x v="0"/>
  </r>
  <r>
    <x v="1"/>
    <x v="4"/>
    <x v="6"/>
    <x v="1"/>
    <x v="2"/>
    <x v="3"/>
    <x v="0"/>
    <x v="1"/>
    <x v="0"/>
    <x v="0"/>
  </r>
  <r>
    <x v="1"/>
    <x v="2"/>
    <x v="5"/>
    <x v="1"/>
    <x v="0"/>
    <x v="2"/>
    <x v="0"/>
    <x v="1"/>
    <x v="0"/>
    <x v="0"/>
  </r>
  <r>
    <x v="1"/>
    <x v="2"/>
    <x v="4"/>
    <x v="1"/>
    <x v="1"/>
    <x v="1"/>
    <x v="0"/>
    <x v="1"/>
    <x v="0"/>
    <x v="0"/>
  </r>
  <r>
    <x v="1"/>
    <x v="1"/>
    <x v="7"/>
    <x v="0"/>
    <x v="3"/>
    <x v="5"/>
    <x v="0"/>
    <x v="1"/>
    <x v="2"/>
    <x v="0"/>
  </r>
  <r>
    <x v="2"/>
    <x v="3"/>
    <x v="1"/>
    <x v="0"/>
    <x v="3"/>
    <x v="0"/>
    <x v="2"/>
    <x v="2"/>
    <x v="2"/>
    <x v="0"/>
  </r>
  <r>
    <x v="0"/>
    <x v="0"/>
    <x v="1"/>
    <x v="0"/>
    <x v="3"/>
    <x v="0"/>
    <x v="2"/>
    <x v="2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8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64" zoomScaleNormal="164" zoomScalePageLayoutView="100" workbookViewId="0">
      <selection pane="topLeft" activeCell="C6" activeCellId="0" sqref="C6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9.5"/>
  </cols>
  <sheetData>
    <row r="3" customFormat="false" ht="15.75" hidden="false" customHeight="false" outlineLevel="0" collapsed="false">
      <c r="A3" s="2" t="s">
        <v>0</v>
      </c>
      <c r="B3" s="3" t="s">
        <v>1</v>
      </c>
    </row>
    <row r="4" customFormat="false" ht="15.75" hidden="false" customHeight="false" outlineLevel="0" collapsed="false">
      <c r="A4" s="4" t="s">
        <v>2</v>
      </c>
      <c r="B4" s="5"/>
    </row>
    <row r="5" customFormat="false" ht="15.75" hidden="false" customHeight="false" outlineLevel="0" collapsed="false">
      <c r="A5" s="6" t="s">
        <v>3</v>
      </c>
      <c r="B5" s="7" t="n">
        <v>17</v>
      </c>
    </row>
    <row r="6" customFormat="false" ht="15.75" hidden="false" customHeight="false" outlineLevel="0" collapsed="false">
      <c r="A6" s="6" t="s">
        <v>4</v>
      </c>
      <c r="B6" s="7" t="n">
        <v>20</v>
      </c>
    </row>
    <row r="7" customFormat="false" ht="15.75" hidden="false" customHeight="false" outlineLevel="0" collapsed="false">
      <c r="A7" s="6" t="s">
        <v>5</v>
      </c>
      <c r="B7" s="8" t="n">
        <v>75</v>
      </c>
    </row>
    <row r="8" customFormat="false" ht="15.75" hidden="false" customHeight="false" outlineLevel="0" collapsed="false">
      <c r="A8" s="9" t="s">
        <v>6</v>
      </c>
      <c r="B8" s="10" t="n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64" zoomScaleNormal="164" zoomScalePageLayoutView="100" workbookViewId="0">
      <selection pane="topLeft" activeCell="J10" activeCellId="0" sqref="J10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11.65"/>
    <col collapsed="false" customWidth="true" hidden="false" outlineLevel="0" max="2" min="2" style="1" width="18"/>
    <col collapsed="false" customWidth="true" hidden="false" outlineLevel="0" max="3" min="3" style="1" width="19.5"/>
    <col collapsed="false" customWidth="true" hidden="false" outlineLevel="0" max="4" min="4" style="1" width="15.16"/>
    <col collapsed="false" customWidth="true" hidden="false" outlineLevel="0" max="8" min="6" style="1" width="12"/>
    <col collapsed="false" customWidth="true" hidden="false" outlineLevel="0" max="9" min="9" style="1" width="7.83"/>
  </cols>
  <sheetData>
    <row r="1" customFormat="false" ht="15.75" hidden="false" customHeight="false" outlineLevel="0" collapsed="false">
      <c r="A1" s="11" t="s">
        <v>7</v>
      </c>
      <c r="B1" s="1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s="11" t="s">
        <v>0</v>
      </c>
      <c r="J1" s="11" t="s">
        <v>15</v>
      </c>
    </row>
    <row r="2" customFormat="false" ht="15.7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n">
        <v>15</v>
      </c>
      <c r="F2" s="1" t="n">
        <v>7</v>
      </c>
      <c r="G2" s="1" t="n">
        <v>0</v>
      </c>
      <c r="H2" s="12" t="n">
        <f aca="false">(F2/(F2+G2))</f>
        <v>1</v>
      </c>
      <c r="I2" s="13" t="s">
        <v>5</v>
      </c>
    </row>
    <row r="3" customFormat="false" ht="15.75" hidden="false" customHeight="false" outlineLevel="0" collapsed="false">
      <c r="A3" s="1" t="s">
        <v>16</v>
      </c>
      <c r="B3" s="1" t="s">
        <v>17</v>
      </c>
      <c r="C3" s="1" t="s">
        <v>20</v>
      </c>
      <c r="D3" s="1" t="s">
        <v>19</v>
      </c>
      <c r="E3" s="1" t="n">
        <v>15</v>
      </c>
      <c r="F3" s="1" t="n">
        <v>7</v>
      </c>
      <c r="G3" s="1" t="n">
        <v>0</v>
      </c>
      <c r="H3" s="12" t="n">
        <f aca="false">(F3/(F3+G3))</f>
        <v>1</v>
      </c>
      <c r="I3" s="13" t="s">
        <v>5</v>
      </c>
    </row>
    <row r="4" customFormat="false" ht="15.75" hidden="false" customHeight="false" outlineLevel="0" collapsed="false">
      <c r="A4" s="1" t="s">
        <v>16</v>
      </c>
      <c r="B4" s="1" t="s">
        <v>21</v>
      </c>
      <c r="C4" s="1" t="s">
        <v>22</v>
      </c>
      <c r="D4" s="1" t="s">
        <v>23</v>
      </c>
      <c r="E4" s="1" t="n">
        <v>10</v>
      </c>
      <c r="F4" s="1" t="n">
        <v>0</v>
      </c>
      <c r="G4" s="1" t="n">
        <v>10</v>
      </c>
      <c r="H4" s="12" t="n">
        <f aca="false">(F4/(F4+G4))</f>
        <v>0</v>
      </c>
      <c r="I4" s="13" t="s">
        <v>4</v>
      </c>
    </row>
    <row r="5" customFormat="false" ht="15.75" hidden="false" customHeight="false" outlineLevel="0" collapsed="false">
      <c r="A5" s="1" t="s">
        <v>16</v>
      </c>
      <c r="B5" s="1" t="s">
        <v>21</v>
      </c>
      <c r="C5" s="1" t="s">
        <v>24</v>
      </c>
      <c r="D5" s="1" t="s">
        <v>23</v>
      </c>
      <c r="E5" s="1" t="n">
        <v>10</v>
      </c>
      <c r="F5" s="1" t="n">
        <v>0</v>
      </c>
      <c r="G5" s="1" t="n">
        <v>10</v>
      </c>
      <c r="H5" s="12" t="n">
        <f aca="false">(F5/(F5+G5))</f>
        <v>0</v>
      </c>
      <c r="I5" s="13" t="s">
        <v>4</v>
      </c>
    </row>
    <row r="6" customFormat="false" ht="15.75" hidden="false" customHeight="false" outlineLevel="0" collapsed="false">
      <c r="A6" s="1" t="s">
        <v>16</v>
      </c>
      <c r="B6" s="1" t="s">
        <v>25</v>
      </c>
      <c r="C6" s="1" t="s">
        <v>26</v>
      </c>
      <c r="D6" s="1" t="s">
        <v>27</v>
      </c>
      <c r="E6" s="1" t="n">
        <v>10</v>
      </c>
      <c r="F6" s="1" t="n">
        <v>6</v>
      </c>
      <c r="G6" s="1" t="n">
        <v>0</v>
      </c>
      <c r="H6" s="12" t="n">
        <f aca="false">(F6/(F6+G6))</f>
        <v>1</v>
      </c>
      <c r="I6" s="13" t="s">
        <v>3</v>
      </c>
    </row>
    <row r="7" customFormat="false" ht="15.75" hidden="false" customHeight="false" outlineLevel="0" collapsed="false">
      <c r="A7" s="1" t="s">
        <v>16</v>
      </c>
      <c r="B7" s="1" t="s">
        <v>28</v>
      </c>
      <c r="C7" s="1" t="s">
        <v>29</v>
      </c>
      <c r="D7" s="1" t="s">
        <v>27</v>
      </c>
      <c r="E7" s="1" t="n">
        <v>2</v>
      </c>
      <c r="F7" s="1" t="n">
        <v>3</v>
      </c>
      <c r="G7" s="1" t="n">
        <v>0</v>
      </c>
      <c r="H7" s="12" t="n">
        <f aca="false">(F7/(F7+G7))</f>
        <v>1</v>
      </c>
      <c r="I7" s="13" t="s">
        <v>3</v>
      </c>
    </row>
    <row r="8" customFormat="false" ht="15.75" hidden="false" customHeight="false" outlineLevel="0" collapsed="false">
      <c r="A8" s="1" t="s">
        <v>16</v>
      </c>
      <c r="B8" s="1" t="s">
        <v>28</v>
      </c>
      <c r="C8" s="1" t="s">
        <v>30</v>
      </c>
      <c r="D8" s="1" t="s">
        <v>27</v>
      </c>
      <c r="E8" s="1" t="n">
        <v>5</v>
      </c>
      <c r="F8" s="1" t="n">
        <v>1</v>
      </c>
      <c r="G8" s="1" t="n">
        <v>0</v>
      </c>
      <c r="H8" s="12" t="n">
        <f aca="false">(F8/(F8+G8))</f>
        <v>1</v>
      </c>
      <c r="I8" s="13" t="s">
        <v>3</v>
      </c>
    </row>
    <row r="9" customFormat="false" ht="15.75" hidden="false" customHeight="false" outlineLevel="0" collapsed="false">
      <c r="A9" s="1" t="s">
        <v>16</v>
      </c>
      <c r="B9" s="1" t="s">
        <v>17</v>
      </c>
      <c r="C9" s="1" t="s">
        <v>31</v>
      </c>
      <c r="D9" s="1" t="s">
        <v>19</v>
      </c>
      <c r="E9" s="1" t="n">
        <v>15</v>
      </c>
      <c r="F9" s="1" t="n">
        <v>20</v>
      </c>
      <c r="G9" s="1" t="n">
        <v>0</v>
      </c>
      <c r="H9" s="12" t="n">
        <f aca="false">(F9/(F9+G9))</f>
        <v>1</v>
      </c>
      <c r="I9" s="13" t="s">
        <v>5</v>
      </c>
    </row>
    <row r="10" customFormat="false" ht="15.75" hidden="false" customHeight="false" outlineLevel="0" collapsed="false">
      <c r="A10" s="1" t="s">
        <v>32</v>
      </c>
      <c r="B10" s="1" t="s">
        <v>33</v>
      </c>
      <c r="C10" s="1" t="s">
        <v>18</v>
      </c>
      <c r="D10" s="1" t="s">
        <v>19</v>
      </c>
      <c r="E10" s="1" t="n">
        <v>15</v>
      </c>
      <c r="F10" s="1" t="n">
        <v>30</v>
      </c>
      <c r="G10" s="1" t="n">
        <v>0</v>
      </c>
      <c r="H10" s="12" t="n">
        <f aca="false">(F10/(F10+G10))</f>
        <v>1</v>
      </c>
      <c r="I10" s="1" t="s">
        <v>5</v>
      </c>
    </row>
    <row r="11" customFormat="false" ht="15.75" hidden="false" customHeight="false" outlineLevel="0" collapsed="false">
      <c r="E11" s="1"/>
      <c r="H11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64" zoomScaleNormal="164" zoomScalePageLayoutView="100" workbookViewId="0">
      <selection pane="topLeft" activeCell="C3" activeCellId="0" sqref="C3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1" width="25.5"/>
    <col collapsed="false" customWidth="true" hidden="false" outlineLevel="0" max="2" min="2" style="1" width="25.83"/>
    <col collapsed="false" customWidth="true" hidden="false" outlineLevel="0" max="3" min="3" style="1" width="30.83"/>
    <col collapsed="false" customWidth="true" hidden="false" outlineLevel="0" max="4" min="4" style="1" width="12.51"/>
    <col collapsed="false" customWidth="true" hidden="false" outlineLevel="0" max="5" min="5" style="1" width="22.5"/>
  </cols>
  <sheetData>
    <row r="1" customFormat="false" ht="15.75" hidden="false" customHeight="false" outlineLevel="0" collapsed="false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</row>
    <row r="2" customFormat="false" ht="15.75" hidden="false" customHeight="false" outlineLevel="0" collapsed="false">
      <c r="A2" s="1" t="n">
        <f aca="false">SUM('liste des taches'!E2:E329)</f>
        <v>97</v>
      </c>
      <c r="B2" s="1" t="n">
        <f aca="false">SUM('liste des taches'!F2:F329)</f>
        <v>74</v>
      </c>
      <c r="C2" s="1" t="n">
        <f aca="false">SUM('liste des taches'!G2:G329)</f>
        <v>20</v>
      </c>
      <c r="D2" s="12" t="n">
        <f aca="false">(B2/(B2+C2))</f>
        <v>0.787234042553192</v>
      </c>
      <c r="E2" s="14" t="n">
        <f aca="false">((B2+C2)-A2)/A2</f>
        <v>-0.0309278350515464</v>
      </c>
    </row>
    <row r="3" customFormat="false" ht="15.75" hidden="false" customHeight="false" outlineLevel="0" collapsed="false">
      <c r="C3" s="1" t="n">
        <f aca="false">C2/60</f>
        <v>0.333333333333333</v>
      </c>
      <c r="D3" s="1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64" zoomScaleNormal="164" zoomScalePageLayoutView="100" workbookViewId="0">
      <selection pane="topLeft" activeCell="C9" activeCellId="0" sqref="C9"/>
    </sheetView>
  </sheetViews>
  <sheetFormatPr defaultColWidth="10.5507812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2026-02-10T13:58:48Z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